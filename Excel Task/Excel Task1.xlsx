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 Vedant\"/>
    </mc:Choice>
  </mc:AlternateContent>
  <xr:revisionPtr revIDLastSave="0" documentId="13_ncr:1_{8521ED78-6B9E-42FC-B32D-4331A67E767E}" xr6:coauthVersionLast="47" xr6:coauthVersionMax="47" xr10:uidLastSave="{00000000-0000-0000-0000-000000000000}"/>
  <bookViews>
    <workbookView xWindow="-108" yWindow="-108" windowWidth="23256" windowHeight="12456" xr2:uid="{92354911-0DD0-4B54-8BD7-EFD799D94028}"/>
  </bookViews>
  <sheets>
    <sheet name="Question1" sheetId="1" r:id="rId1"/>
    <sheet name="Question2" sheetId="2" r:id="rId2"/>
  </sheets>
  <definedNames>
    <definedName name="Late">Question1!$I$10:$I$24</definedName>
    <definedName name="Present">Question1!$G$10:$G$24</definedName>
    <definedName name="Total">Question1!$H$10:$H$24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7" i="1" l="1"/>
  <c r="B75" i="1"/>
  <c r="E87" i="2"/>
  <c r="D87" i="2"/>
  <c r="E84" i="2"/>
  <c r="E85" i="2"/>
  <c r="E86" i="2"/>
  <c r="D84" i="2"/>
  <c r="D85" i="2"/>
  <c r="D86" i="2"/>
  <c r="D83" i="2"/>
  <c r="E83" i="2"/>
  <c r="C83" i="2"/>
  <c r="C84" i="2"/>
  <c r="C85" i="2"/>
  <c r="C86" i="2"/>
  <c r="C8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47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5" i="2"/>
  <c r="B81" i="1"/>
  <c r="B80" i="1"/>
  <c r="B79" i="1"/>
  <c r="B78" i="1"/>
  <c r="B76" i="1"/>
  <c r="E49" i="1"/>
  <c r="E48" i="1"/>
  <c r="B74" i="1"/>
  <c r="B73" i="1"/>
  <c r="B72" i="1"/>
  <c r="B71" i="1"/>
  <c r="B70" i="1"/>
  <c r="B69" i="1"/>
  <c r="D63" i="1"/>
  <c r="D62" i="1"/>
  <c r="D61" i="1"/>
  <c r="D60" i="1"/>
  <c r="D59" i="1"/>
  <c r="E47" i="1"/>
  <c r="E46" i="1"/>
  <c r="E45" i="1"/>
  <c r="E44" i="1"/>
  <c r="E38" i="1" l="1"/>
  <c r="E37" i="1"/>
  <c r="E36" i="1"/>
  <c r="E34" i="1"/>
  <c r="E35" i="1"/>
  <c r="E33" i="1"/>
  <c r="E32" i="1"/>
  <c r="E31" i="1"/>
  <c r="E30" i="1"/>
  <c r="E29" i="1"/>
</calcChain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<sst xmlns="http://schemas.openxmlformats.org/spreadsheetml/2006/main" count="427" uniqueCount="185">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</sst>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2" borderId="0" xfId="0" quotePrefix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tabSelected="1" workbookViewId="0">
      <selection activeCell="B76" sqref="B76"/>
    </sheetView>
  </sheetViews>
  <sheetFormatPr defaultColWidth="9.109375" defaultRowHeight="14.4" x14ac:dyDescent="0.3"/>
  <cols>
    <col min="1" max="1" width="31.44140625" style="2" customWidth="1"/>
    <col min="2" max="2" width="17.5546875" style="2" customWidth="1"/>
    <col min="3" max="3" width="16.44140625" style="2" customWidth="1"/>
    <col min="4" max="4" width="33.88671875" style="2" customWidth="1"/>
    <col min="5" max="5" width="15.88671875" style="2" customWidth="1"/>
    <col min="6" max="6" width="9.109375" style="2"/>
    <col min="7" max="7" width="14.44140625" style="2" customWidth="1"/>
    <col min="8" max="8" width="20.33203125" style="2" customWidth="1"/>
    <col min="9" max="9" width="18.88671875" style="2" customWidth="1"/>
    <col min="10" max="10" width="16.5546875" style="2" customWidth="1"/>
    <col min="11" max="11" width="20.88671875" style="2" customWidth="1"/>
    <col min="12" max="12" width="14.109375" style="2" customWidth="1"/>
    <col min="13" max="13" width="15.33203125" style="2" customWidth="1"/>
    <col min="14" max="14" width="15.88671875" style="2" customWidth="1"/>
    <col min="15" max="16384" width="9.109375" style="2"/>
  </cols>
  <sheetData>
    <row r="1" spans="1:20" ht="15" customHeight="1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45">
      <c r="A2" s="36"/>
      <c r="B2" s="36"/>
      <c r="C2" s="36"/>
      <c r="D2" s="36"/>
      <c r="E2" s="36"/>
      <c r="F2" s="36"/>
      <c r="G2" s="36"/>
      <c r="H2" s="36"/>
      <c r="I2" s="36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 x14ac:dyDescent="0.3">
      <c r="A4" s="37" t="s">
        <v>1</v>
      </c>
      <c r="B4" s="37"/>
      <c r="C4" s="37"/>
    </row>
    <row r="5" spans="1:20" x14ac:dyDescent="0.3">
      <c r="A5" s="3" t="s">
        <v>2</v>
      </c>
    </row>
    <row r="6" spans="1:20" x14ac:dyDescent="0.3">
      <c r="A6" s="3" t="s">
        <v>3</v>
      </c>
    </row>
    <row r="7" spans="1:20" x14ac:dyDescent="0.3">
      <c r="A7" s="3" t="s">
        <v>4</v>
      </c>
    </row>
    <row r="9" spans="1:20" x14ac:dyDescent="0.3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x14ac:dyDescent="0.3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 x14ac:dyDescent="0.3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x14ac:dyDescent="0.3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x14ac:dyDescent="0.3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x14ac:dyDescent="0.3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x14ac:dyDescent="0.3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x14ac:dyDescent="0.3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x14ac:dyDescent="0.3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x14ac:dyDescent="0.3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x14ac:dyDescent="0.3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x14ac:dyDescent="0.3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x14ac:dyDescent="0.3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x14ac:dyDescent="0.3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x14ac:dyDescent="0.3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x14ac:dyDescent="0.3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x14ac:dyDescent="0.3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.2" x14ac:dyDescent="0.3">
      <c r="A26" s="29" t="s">
        <v>52</v>
      </c>
      <c r="B26" s="29"/>
      <c r="C26" s="29"/>
      <c r="D26" s="29"/>
      <c r="E26" s="29"/>
      <c r="F26" s="29"/>
      <c r="G26" s="29"/>
      <c r="H26" s="29"/>
      <c r="I26" s="29"/>
      <c r="J26"/>
      <c r="K26"/>
      <c r="L26"/>
      <c r="M26"/>
      <c r="N26"/>
      <c r="O26"/>
      <c r="P26"/>
      <c r="Q26"/>
      <c r="R26"/>
      <c r="S26"/>
    </row>
    <row r="27" spans="1:19" ht="16.5" customHeight="1" x14ac:dyDescent="0.3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 x14ac:dyDescent="0.3">
      <c r="A28" s="35" t="s">
        <v>53</v>
      </c>
      <c r="B28" s="35"/>
      <c r="C28" s="35"/>
      <c r="D28" s="35"/>
      <c r="E28" s="9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 s="30" t="s">
        <v>55</v>
      </c>
      <c r="B29" s="31"/>
      <c r="C29" s="31"/>
      <c r="D29" s="32"/>
      <c r="E29" s="10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 s="30" t="s">
        <v>56</v>
      </c>
      <c r="B30" s="31"/>
      <c r="C30" s="31"/>
      <c r="D30" s="32"/>
      <c r="E30" s="10">
        <f>+SUM(H10:H24)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 s="30" t="s">
        <v>57</v>
      </c>
      <c r="B31" s="31"/>
      <c r="C31" s="31"/>
      <c r="D31" s="32"/>
      <c r="E31" s="10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 s="30" t="s">
        <v>58</v>
      </c>
      <c r="B32" s="31"/>
      <c r="C32" s="31"/>
      <c r="D32" s="32"/>
      <c r="E32" s="10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">
      <c r="A33" s="30" t="s">
        <v>59</v>
      </c>
      <c r="B33" s="31"/>
      <c r="C33" s="31"/>
      <c r="D33" s="32"/>
      <c r="E33" s="10">
        <f>AVERAGE(G10:G24)</f>
        <v>17.333333333333332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">
      <c r="A34" s="30" t="s">
        <v>60</v>
      </c>
      <c r="B34" s="31"/>
      <c r="C34" s="31"/>
      <c r="D34" s="32"/>
      <c r="E34" s="10">
        <f>COUNT(G10:G24)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">
      <c r="A35" s="30" t="s">
        <v>61</v>
      </c>
      <c r="B35" s="31"/>
      <c r="C35" s="31"/>
      <c r="D35" s="32"/>
      <c r="E35" s="10">
        <f>COUNTA(C10:C24)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">
      <c r="A36" s="30" t="s">
        <v>62</v>
      </c>
      <c r="B36" s="31"/>
      <c r="C36" s="31"/>
      <c r="D36" s="32"/>
      <c r="E36" s="10">
        <f>MAX(I10:I24)</f>
        <v>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">
      <c r="A37" s="30" t="s">
        <v>63</v>
      </c>
      <c r="B37" s="31"/>
      <c r="C37" s="31"/>
      <c r="D37" s="32"/>
      <c r="E37" s="11">
        <f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">
      <c r="A38" s="30" t="s">
        <v>64</v>
      </c>
      <c r="B38" s="31"/>
      <c r="C38" s="31"/>
      <c r="D38" s="32"/>
      <c r="E38" s="28">
        <f>AVERAGE(I10:I24)</f>
        <v>1.8</v>
      </c>
    </row>
    <row r="41" spans="1:19" ht="31.2" x14ac:dyDescent="0.3">
      <c r="A41" s="29" t="s">
        <v>65</v>
      </c>
      <c r="B41" s="29"/>
      <c r="C41" s="29"/>
      <c r="D41" s="29"/>
      <c r="E41" s="29"/>
      <c r="F41" s="29"/>
      <c r="G41" s="29"/>
      <c r="H41" s="29"/>
      <c r="I41" s="29"/>
    </row>
    <row r="43" spans="1:19" ht="18" x14ac:dyDescent="0.3">
      <c r="A43" s="35" t="s">
        <v>53</v>
      </c>
      <c r="B43" s="35"/>
      <c r="C43" s="35"/>
      <c r="D43" s="35"/>
      <c r="E43" s="9" t="s">
        <v>54</v>
      </c>
    </row>
    <row r="44" spans="1:19" x14ac:dyDescent="0.3">
      <c r="A44" s="30" t="s">
        <v>66</v>
      </c>
      <c r="B44" s="31"/>
      <c r="C44" s="31"/>
      <c r="D44" s="32"/>
      <c r="E44" s="12">
        <f>LARGE(Present,2)</f>
        <v>20</v>
      </c>
    </row>
    <row r="45" spans="1:19" x14ac:dyDescent="0.3">
      <c r="A45" s="30" t="s">
        <v>67</v>
      </c>
      <c r="B45" s="31"/>
      <c r="C45" s="31"/>
      <c r="D45" s="32"/>
      <c r="E45" s="12">
        <f>LARGE(Present,3)</f>
        <v>20</v>
      </c>
    </row>
    <row r="46" spans="1:19" x14ac:dyDescent="0.3">
      <c r="A46" s="30" t="s">
        <v>68</v>
      </c>
      <c r="B46" s="31"/>
      <c r="C46" s="31"/>
      <c r="D46" s="32"/>
      <c r="E46" s="12">
        <f>SMALL(Present,2)</f>
        <v>14</v>
      </c>
    </row>
    <row r="47" spans="1:19" x14ac:dyDescent="0.3">
      <c r="A47" s="30" t="s">
        <v>69</v>
      </c>
      <c r="B47" s="31"/>
      <c r="C47" s="31"/>
      <c r="D47" s="32"/>
      <c r="E47" s="12">
        <f>SMALL(Present,4)</f>
        <v>16</v>
      </c>
    </row>
    <row r="48" spans="1:19" x14ac:dyDescent="0.3">
      <c r="A48" s="30" t="s">
        <v>70</v>
      </c>
      <c r="B48" s="31"/>
      <c r="C48" s="31"/>
      <c r="D48" s="32"/>
      <c r="E48" s="12">
        <f>MAX(Late)</f>
        <v>5</v>
      </c>
    </row>
    <row r="49" spans="1:9" x14ac:dyDescent="0.3">
      <c r="A49" s="30" t="s">
        <v>71</v>
      </c>
      <c r="B49" s="31"/>
      <c r="C49" s="31"/>
      <c r="D49" s="32"/>
      <c r="E49" s="12">
        <f>LARGE(Late,2)</f>
        <v>4</v>
      </c>
    </row>
    <row r="50" spans="1:9" x14ac:dyDescent="0.3">
      <c r="A50"/>
      <c r="B50"/>
      <c r="C50"/>
      <c r="D50"/>
      <c r="E50"/>
    </row>
    <row r="51" spans="1:9" ht="31.2" x14ac:dyDescent="0.3">
      <c r="A51" s="29" t="s">
        <v>72</v>
      </c>
      <c r="B51" s="29"/>
      <c r="C51" s="29"/>
      <c r="D51" s="29"/>
      <c r="E51" s="29"/>
      <c r="F51" s="29"/>
      <c r="G51" s="29"/>
      <c r="H51" s="29"/>
      <c r="I51" s="29"/>
    </row>
    <row r="53" spans="1:9" x14ac:dyDescent="0.3">
      <c r="A53" t="s">
        <v>73</v>
      </c>
    </row>
    <row r="54" spans="1:9" x14ac:dyDescent="0.3">
      <c r="A54" s="13" t="s">
        <v>74</v>
      </c>
    </row>
    <row r="55" spans="1:9" x14ac:dyDescent="0.3">
      <c r="A55" s="13" t="s">
        <v>75</v>
      </c>
    </row>
    <row r="56" spans="1:9" x14ac:dyDescent="0.3">
      <c r="A56" s="13" t="s">
        <v>76</v>
      </c>
    </row>
    <row r="57" spans="1:9" x14ac:dyDescent="0.3">
      <c r="A57"/>
    </row>
    <row r="58" spans="1:9" x14ac:dyDescent="0.3">
      <c r="A58" s="33" t="s">
        <v>77</v>
      </c>
      <c r="B58" s="33"/>
      <c r="C58" s="33"/>
      <c r="D58" s="14" t="s">
        <v>54</v>
      </c>
    </row>
    <row r="59" spans="1:9" x14ac:dyDescent="0.3">
      <c r="A59" s="34" t="s">
        <v>78</v>
      </c>
      <c r="B59" s="34"/>
      <c r="C59" s="34"/>
      <c r="D59" s="12">
        <f>SUM(Present)</f>
        <v>260</v>
      </c>
    </row>
    <row r="60" spans="1:9" x14ac:dyDescent="0.3">
      <c r="A60" s="34" t="s">
        <v>79</v>
      </c>
      <c r="B60" s="34"/>
      <c r="C60" s="34"/>
      <c r="D60" s="12">
        <f>AVERAGE(Present)</f>
        <v>17.333333333333332</v>
      </c>
    </row>
    <row r="61" spans="1:9" x14ac:dyDescent="0.3">
      <c r="A61" s="34" t="s">
        <v>80</v>
      </c>
      <c r="B61" s="34"/>
      <c r="C61" s="34"/>
      <c r="D61" s="12">
        <f>MAX(Present)</f>
        <v>20</v>
      </c>
    </row>
    <row r="62" spans="1:9" x14ac:dyDescent="0.3">
      <c r="A62" s="34" t="s">
        <v>81</v>
      </c>
      <c r="B62" s="34"/>
      <c r="C62" s="34"/>
      <c r="D62" s="12">
        <f>MIN(Present)</f>
        <v>13</v>
      </c>
    </row>
    <row r="63" spans="1:9" x14ac:dyDescent="0.3">
      <c r="A63" s="34" t="s">
        <v>82</v>
      </c>
      <c r="B63" s="34"/>
      <c r="C63" s="34"/>
      <c r="D63" s="12">
        <f>LARGE(Present,3)</f>
        <v>20</v>
      </c>
    </row>
    <row r="66" spans="1:9" ht="31.2" x14ac:dyDescent="0.3">
      <c r="A66" s="29" t="s">
        <v>83</v>
      </c>
      <c r="B66" s="29"/>
      <c r="C66" s="29"/>
      <c r="D66" s="29"/>
      <c r="E66" s="29"/>
      <c r="F66" s="29"/>
      <c r="G66" s="29"/>
      <c r="H66" s="29"/>
      <c r="I66" s="29"/>
    </row>
    <row r="68" spans="1:9" x14ac:dyDescent="0.3">
      <c r="A68" s="15" t="s">
        <v>84</v>
      </c>
      <c r="B68" s="14" t="s">
        <v>85</v>
      </c>
    </row>
    <row r="69" spans="1:9" x14ac:dyDescent="0.3">
      <c r="A69" s="16" t="s">
        <v>86</v>
      </c>
      <c r="B69" s="17">
        <f>COUNT(Present)</f>
        <v>15</v>
      </c>
    </row>
    <row r="70" spans="1:9" x14ac:dyDescent="0.3">
      <c r="A70" s="16" t="s">
        <v>87</v>
      </c>
      <c r="B70" s="17">
        <f>SUM(Present)</f>
        <v>260</v>
      </c>
    </row>
    <row r="71" spans="1:9" x14ac:dyDescent="0.3">
      <c r="A71" s="16" t="s">
        <v>88</v>
      </c>
      <c r="B71" s="17">
        <f>SUM(Total)</f>
        <v>300</v>
      </c>
    </row>
    <row r="72" spans="1:9" x14ac:dyDescent="0.3">
      <c r="A72" s="16" t="s">
        <v>89</v>
      </c>
      <c r="B72" s="17">
        <f>AVERAGE(Present)</f>
        <v>17.333333333333332</v>
      </c>
    </row>
    <row r="73" spans="1:9" x14ac:dyDescent="0.3">
      <c r="A73" s="16" t="s">
        <v>90</v>
      </c>
      <c r="B73" s="10">
        <f>MAX(Present)</f>
        <v>20</v>
      </c>
    </row>
    <row r="74" spans="1:9" x14ac:dyDescent="0.3">
      <c r="A74" s="16" t="s">
        <v>91</v>
      </c>
      <c r="B74" s="17">
        <f>MIN(Present)</f>
        <v>13</v>
      </c>
    </row>
    <row r="75" spans="1:9" x14ac:dyDescent="0.3">
      <c r="A75" s="16" t="s">
        <v>92</v>
      </c>
      <c r="B75" s="17">
        <f>MAX(Late)</f>
        <v>5</v>
      </c>
    </row>
    <row r="76" spans="1:9" x14ac:dyDescent="0.3">
      <c r="A76" s="16" t="s">
        <v>93</v>
      </c>
      <c r="B76" s="17">
        <f>MIN(Late)</f>
        <v>0</v>
      </c>
    </row>
    <row r="77" spans="1:9" x14ac:dyDescent="0.3">
      <c r="A77" s="16" t="s">
        <v>94</v>
      </c>
      <c r="B77" s="17">
        <f>AVERAGE(Late)</f>
        <v>1.8</v>
      </c>
    </row>
    <row r="78" spans="1:9" x14ac:dyDescent="0.3">
      <c r="A78" s="16" t="s">
        <v>95</v>
      </c>
      <c r="B78" s="17">
        <f>LARGE(Present,2)</f>
        <v>20</v>
      </c>
    </row>
    <row r="79" spans="1:9" x14ac:dyDescent="0.3">
      <c r="A79" s="16" t="s">
        <v>96</v>
      </c>
      <c r="B79" s="17">
        <f>LARGE(Present,3)</f>
        <v>20</v>
      </c>
    </row>
    <row r="80" spans="1:9" x14ac:dyDescent="0.3">
      <c r="A80" s="16" t="s">
        <v>97</v>
      </c>
      <c r="B80" s="17">
        <f>SMALL(Present,2)</f>
        <v>14</v>
      </c>
    </row>
    <row r="81" spans="1:2" x14ac:dyDescent="0.3">
      <c r="A81" s="16" t="s">
        <v>98</v>
      </c>
      <c r="B81" s="10">
        <f>COUNTA(C10:C24)</f>
        <v>15</v>
      </c>
    </row>
  </sheetData>
  <mergeCells count="30">
    <mergeCell ref="A1:I2"/>
    <mergeCell ref="A30:D30"/>
    <mergeCell ref="A4:C4"/>
    <mergeCell ref="A26:I26"/>
    <mergeCell ref="A28:D28"/>
    <mergeCell ref="A29:D29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topLeftCell="A67" workbookViewId="0">
      <selection activeCell="M56" sqref="M56"/>
    </sheetView>
  </sheetViews>
  <sheetFormatPr defaultRowHeight="14.4" x14ac:dyDescent="0.3"/>
  <cols>
    <col min="1" max="1" width="19.109375" customWidth="1"/>
    <col min="2" max="2" width="20.88671875" customWidth="1"/>
    <col min="3" max="3" width="26.44140625" customWidth="1"/>
    <col min="4" max="4" width="19.88671875" customWidth="1"/>
    <col min="5" max="5" width="22.88671875" customWidth="1"/>
    <col min="6" max="6" width="28.109375" customWidth="1"/>
    <col min="7" max="7" width="18.109375" customWidth="1"/>
    <col min="8" max="8" width="16.44140625" customWidth="1"/>
    <col min="9" max="9" width="19.109375" customWidth="1"/>
    <col min="10" max="10" width="14.5546875" customWidth="1"/>
    <col min="11" max="11" width="23.33203125" customWidth="1"/>
    <col min="12" max="12" width="12.44140625" customWidth="1"/>
  </cols>
  <sheetData>
    <row r="1" spans="1:9" x14ac:dyDescent="0.3">
      <c r="A1" s="38" t="s">
        <v>179</v>
      </c>
      <c r="B1" s="38"/>
      <c r="C1" s="38"/>
      <c r="D1" s="38"/>
      <c r="E1" s="38"/>
      <c r="F1" s="38"/>
      <c r="G1" s="38"/>
      <c r="H1" s="38"/>
      <c r="I1" s="38"/>
    </row>
    <row r="2" spans="1:9" x14ac:dyDescent="0.3">
      <c r="A2" s="38"/>
      <c r="B2" s="38"/>
      <c r="C2" s="38"/>
      <c r="D2" s="38"/>
      <c r="E2" s="38"/>
      <c r="F2" s="38"/>
      <c r="G2" s="38"/>
      <c r="H2" s="38"/>
      <c r="I2" s="38"/>
    </row>
    <row r="3" spans="1:9" x14ac:dyDescent="0.3">
      <c r="A3" t="s">
        <v>180</v>
      </c>
    </row>
    <row r="5" spans="1:9" x14ac:dyDescent="0.3">
      <c r="B5" s="15" t="s">
        <v>99</v>
      </c>
      <c r="C5" s="15" t="s">
        <v>100</v>
      </c>
      <c r="D5" s="15" t="s">
        <v>101</v>
      </c>
      <c r="E5" s="15" t="s">
        <v>102</v>
      </c>
      <c r="F5" s="15" t="s">
        <v>103</v>
      </c>
      <c r="G5" s="15" t="s">
        <v>104</v>
      </c>
      <c r="H5" s="15" t="s">
        <v>105</v>
      </c>
      <c r="I5" s="15" t="s">
        <v>106</v>
      </c>
    </row>
    <row r="6" spans="1:9" x14ac:dyDescent="0.3">
      <c r="B6" s="6" t="s">
        <v>107</v>
      </c>
      <c r="C6" s="20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9" x14ac:dyDescent="0.3">
      <c r="B7" s="6" t="s">
        <v>112</v>
      </c>
      <c r="C7" s="20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9" x14ac:dyDescent="0.3">
      <c r="B8" s="6" t="s">
        <v>117</v>
      </c>
      <c r="C8" s="20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9" x14ac:dyDescent="0.3">
      <c r="B9" s="6" t="s">
        <v>122</v>
      </c>
      <c r="C9" s="20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9" x14ac:dyDescent="0.3">
      <c r="B10" s="6" t="s">
        <v>126</v>
      </c>
      <c r="C10" s="20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9" x14ac:dyDescent="0.3">
      <c r="B11" s="6" t="s">
        <v>129</v>
      </c>
      <c r="C11" s="20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9" x14ac:dyDescent="0.3">
      <c r="B12" s="6" t="s">
        <v>132</v>
      </c>
      <c r="C12" s="20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9" x14ac:dyDescent="0.3">
      <c r="B13" s="6" t="s">
        <v>135</v>
      </c>
      <c r="C13" s="20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9" x14ac:dyDescent="0.3">
      <c r="B14" s="6" t="s">
        <v>138</v>
      </c>
      <c r="C14" s="20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9" x14ac:dyDescent="0.3">
      <c r="B15" s="6" t="s">
        <v>142</v>
      </c>
      <c r="C15" s="20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9" x14ac:dyDescent="0.3">
      <c r="B16" s="6" t="s">
        <v>146</v>
      </c>
      <c r="C16" s="20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x14ac:dyDescent="0.3">
      <c r="B17" s="6" t="s">
        <v>149</v>
      </c>
      <c r="C17" s="20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x14ac:dyDescent="0.3">
      <c r="B18" s="6" t="s">
        <v>153</v>
      </c>
      <c r="C18" s="20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x14ac:dyDescent="0.3">
      <c r="B19" s="6" t="s">
        <v>156</v>
      </c>
      <c r="C19" s="20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x14ac:dyDescent="0.3">
      <c r="B20" s="6" t="s">
        <v>159</v>
      </c>
      <c r="C20" s="20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 x14ac:dyDescent="0.3">
      <c r="A22" t="s">
        <v>184</v>
      </c>
    </row>
    <row r="24" spans="1:11" x14ac:dyDescent="0.3">
      <c r="B24" s="15" t="s">
        <v>99</v>
      </c>
      <c r="C24" s="15" t="s">
        <v>100</v>
      </c>
      <c r="D24" s="15" t="s">
        <v>101</v>
      </c>
      <c r="E24" s="15" t="s">
        <v>102</v>
      </c>
      <c r="F24" s="15" t="s">
        <v>103</v>
      </c>
      <c r="G24" s="15" t="s">
        <v>104</v>
      </c>
      <c r="H24" s="15" t="s">
        <v>105</v>
      </c>
      <c r="I24" s="15" t="s">
        <v>106</v>
      </c>
      <c r="J24" s="15" t="s">
        <v>162</v>
      </c>
      <c r="K24" s="5"/>
    </row>
    <row r="25" spans="1:11" x14ac:dyDescent="0.3">
      <c r="B25" s="6" t="s">
        <v>107</v>
      </c>
      <c r="C25" s="20">
        <v>46204</v>
      </c>
      <c r="D25" s="6" t="s">
        <v>108</v>
      </c>
      <c r="E25" s="6" t="s">
        <v>109</v>
      </c>
      <c r="F25" s="6" t="s">
        <v>110</v>
      </c>
      <c r="G25" s="6">
        <v>2</v>
      </c>
      <c r="H25" s="6">
        <v>299</v>
      </c>
      <c r="I25" s="6" t="s">
        <v>111</v>
      </c>
      <c r="J25" s="12">
        <f>H25*G25</f>
        <v>598</v>
      </c>
      <c r="K25" s="2"/>
    </row>
    <row r="26" spans="1:11" x14ac:dyDescent="0.3">
      <c r="B26" s="6" t="s">
        <v>112</v>
      </c>
      <c r="C26" s="20">
        <v>46204</v>
      </c>
      <c r="D26" s="6" t="s">
        <v>113</v>
      </c>
      <c r="E26" s="6" t="s">
        <v>114</v>
      </c>
      <c r="F26" s="6" t="s">
        <v>115</v>
      </c>
      <c r="G26" s="6">
        <v>3</v>
      </c>
      <c r="H26" s="6">
        <v>149</v>
      </c>
      <c r="I26" s="6" t="s">
        <v>116</v>
      </c>
      <c r="J26" s="12">
        <f t="shared" ref="J26:J39" si="0">H26*G26</f>
        <v>447</v>
      </c>
      <c r="K26" s="2"/>
    </row>
    <row r="27" spans="1:11" x14ac:dyDescent="0.3">
      <c r="B27" s="6" t="s">
        <v>117</v>
      </c>
      <c r="C27" s="20">
        <v>46204</v>
      </c>
      <c r="D27" s="6" t="s">
        <v>118</v>
      </c>
      <c r="E27" s="6" t="s">
        <v>119</v>
      </c>
      <c r="F27" s="6" t="s">
        <v>120</v>
      </c>
      <c r="G27" s="6">
        <v>2</v>
      </c>
      <c r="H27" s="6">
        <v>180</v>
      </c>
      <c r="I27" s="6" t="s">
        <v>121</v>
      </c>
      <c r="J27" s="12">
        <f t="shared" si="0"/>
        <v>360</v>
      </c>
      <c r="K27" s="2"/>
    </row>
    <row r="28" spans="1:11" x14ac:dyDescent="0.3">
      <c r="B28" s="6" t="s">
        <v>122</v>
      </c>
      <c r="C28" s="20">
        <v>46205</v>
      </c>
      <c r="D28" s="6" t="s">
        <v>123</v>
      </c>
      <c r="E28" s="6" t="s">
        <v>124</v>
      </c>
      <c r="F28" s="6" t="s">
        <v>125</v>
      </c>
      <c r="G28" s="6">
        <v>4</v>
      </c>
      <c r="H28" s="6">
        <v>120</v>
      </c>
      <c r="I28" s="6" t="s">
        <v>111</v>
      </c>
      <c r="J28" s="12">
        <f t="shared" si="0"/>
        <v>480</v>
      </c>
      <c r="K28" s="2"/>
    </row>
    <row r="29" spans="1:11" x14ac:dyDescent="0.3">
      <c r="B29" s="6" t="s">
        <v>126</v>
      </c>
      <c r="C29" s="20">
        <v>46205</v>
      </c>
      <c r="D29" s="6" t="s">
        <v>127</v>
      </c>
      <c r="E29" s="6" t="s">
        <v>109</v>
      </c>
      <c r="F29" s="6" t="s">
        <v>128</v>
      </c>
      <c r="G29" s="6">
        <v>1</v>
      </c>
      <c r="H29" s="6">
        <v>399</v>
      </c>
      <c r="I29" s="6" t="s">
        <v>116</v>
      </c>
      <c r="J29" s="12">
        <f t="shared" si="0"/>
        <v>399</v>
      </c>
      <c r="K29" s="2"/>
    </row>
    <row r="30" spans="1:11" x14ac:dyDescent="0.3">
      <c r="B30" s="6" t="s">
        <v>129</v>
      </c>
      <c r="C30" s="20">
        <v>46205</v>
      </c>
      <c r="D30" s="6" t="s">
        <v>130</v>
      </c>
      <c r="E30" s="6" t="s">
        <v>114</v>
      </c>
      <c r="F30" s="6" t="s">
        <v>131</v>
      </c>
      <c r="G30" s="6">
        <v>2</v>
      </c>
      <c r="H30" s="6">
        <v>199</v>
      </c>
      <c r="I30" s="6" t="s">
        <v>121</v>
      </c>
      <c r="J30" s="12">
        <f t="shared" si="0"/>
        <v>398</v>
      </c>
      <c r="K30" s="2"/>
    </row>
    <row r="31" spans="1:11" x14ac:dyDescent="0.3">
      <c r="B31" s="6" t="s">
        <v>132</v>
      </c>
      <c r="C31" s="20">
        <v>46206</v>
      </c>
      <c r="D31" s="6" t="s">
        <v>133</v>
      </c>
      <c r="E31" s="6" t="s">
        <v>119</v>
      </c>
      <c r="F31" s="6" t="s">
        <v>134</v>
      </c>
      <c r="G31" s="6">
        <v>3</v>
      </c>
      <c r="H31" s="6">
        <v>160</v>
      </c>
      <c r="I31" s="6" t="s">
        <v>111</v>
      </c>
      <c r="J31" s="12">
        <f t="shared" si="0"/>
        <v>480</v>
      </c>
      <c r="K31" s="2"/>
    </row>
    <row r="32" spans="1:11" x14ac:dyDescent="0.3">
      <c r="B32" s="6" t="s">
        <v>135</v>
      </c>
      <c r="C32" s="20">
        <v>46206</v>
      </c>
      <c r="D32" s="6" t="s">
        <v>136</v>
      </c>
      <c r="E32" s="6" t="s">
        <v>109</v>
      </c>
      <c r="F32" s="6" t="s">
        <v>137</v>
      </c>
      <c r="G32" s="6">
        <v>2</v>
      </c>
      <c r="H32" s="6">
        <v>499</v>
      </c>
      <c r="I32" s="6" t="s">
        <v>116</v>
      </c>
      <c r="J32" s="12">
        <f t="shared" si="0"/>
        <v>998</v>
      </c>
      <c r="K32" s="2"/>
    </row>
    <row r="33" spans="1:14" x14ac:dyDescent="0.3">
      <c r="B33" s="6" t="s">
        <v>138</v>
      </c>
      <c r="C33" s="20">
        <v>46206</v>
      </c>
      <c r="D33" s="6" t="s">
        <v>139</v>
      </c>
      <c r="E33" s="6" t="s">
        <v>140</v>
      </c>
      <c r="F33" s="6" t="s">
        <v>141</v>
      </c>
      <c r="G33" s="6">
        <v>2</v>
      </c>
      <c r="H33" s="6">
        <v>220</v>
      </c>
      <c r="I33" s="6" t="s">
        <v>121</v>
      </c>
      <c r="J33" s="12">
        <f t="shared" si="0"/>
        <v>440</v>
      </c>
      <c r="K33" s="2"/>
    </row>
    <row r="34" spans="1:14" x14ac:dyDescent="0.3">
      <c r="B34" s="6" t="s">
        <v>142</v>
      </c>
      <c r="C34" s="20">
        <v>46207</v>
      </c>
      <c r="D34" s="6" t="s">
        <v>143</v>
      </c>
      <c r="E34" s="6" t="s">
        <v>144</v>
      </c>
      <c r="F34" s="6" t="s">
        <v>145</v>
      </c>
      <c r="G34" s="6">
        <v>1</v>
      </c>
      <c r="H34" s="6">
        <v>299</v>
      </c>
      <c r="I34" s="6" t="s">
        <v>111</v>
      </c>
      <c r="J34" s="12">
        <f t="shared" si="0"/>
        <v>299</v>
      </c>
      <c r="K34" s="2"/>
    </row>
    <row r="35" spans="1:14" x14ac:dyDescent="0.3">
      <c r="B35" s="6" t="s">
        <v>146</v>
      </c>
      <c r="C35" s="20">
        <v>46207</v>
      </c>
      <c r="D35" s="6" t="s">
        <v>147</v>
      </c>
      <c r="E35" s="6" t="s">
        <v>114</v>
      </c>
      <c r="F35" s="6" t="s">
        <v>148</v>
      </c>
      <c r="G35" s="6">
        <v>2</v>
      </c>
      <c r="H35" s="6">
        <v>249</v>
      </c>
      <c r="I35" s="6" t="s">
        <v>116</v>
      </c>
      <c r="J35" s="12">
        <f t="shared" si="0"/>
        <v>498</v>
      </c>
      <c r="K35" s="2"/>
    </row>
    <row r="36" spans="1:14" x14ac:dyDescent="0.3">
      <c r="B36" s="6" t="s">
        <v>149</v>
      </c>
      <c r="C36" s="20">
        <v>46207</v>
      </c>
      <c r="D36" s="6" t="s">
        <v>150</v>
      </c>
      <c r="E36" s="6" t="s">
        <v>151</v>
      </c>
      <c r="F36" s="6" t="s">
        <v>152</v>
      </c>
      <c r="G36" s="6">
        <v>4</v>
      </c>
      <c r="H36" s="6">
        <v>80</v>
      </c>
      <c r="I36" s="6" t="s">
        <v>121</v>
      </c>
      <c r="J36" s="12">
        <f t="shared" si="0"/>
        <v>320</v>
      </c>
      <c r="K36" s="2"/>
    </row>
    <row r="37" spans="1:14" x14ac:dyDescent="0.3">
      <c r="B37" s="6" t="s">
        <v>153</v>
      </c>
      <c r="C37" s="20">
        <v>46208</v>
      </c>
      <c r="D37" s="6" t="s">
        <v>154</v>
      </c>
      <c r="E37" s="6" t="s">
        <v>109</v>
      </c>
      <c r="F37" s="6" t="s">
        <v>155</v>
      </c>
      <c r="G37" s="6">
        <v>1</v>
      </c>
      <c r="H37" s="6">
        <v>449</v>
      </c>
      <c r="I37" s="6" t="s">
        <v>111</v>
      </c>
      <c r="J37" s="12">
        <f t="shared" si="0"/>
        <v>449</v>
      </c>
      <c r="K37" s="2"/>
    </row>
    <row r="38" spans="1:14" x14ac:dyDescent="0.3">
      <c r="B38" s="6" t="s">
        <v>156</v>
      </c>
      <c r="C38" s="20">
        <v>46208</v>
      </c>
      <c r="D38" s="6" t="s">
        <v>157</v>
      </c>
      <c r="E38" s="6" t="s">
        <v>124</v>
      </c>
      <c r="F38" s="6" t="s">
        <v>158</v>
      </c>
      <c r="G38" s="6">
        <v>3</v>
      </c>
      <c r="H38" s="6">
        <v>150</v>
      </c>
      <c r="I38" s="6" t="s">
        <v>116</v>
      </c>
      <c r="J38" s="12">
        <f t="shared" si="0"/>
        <v>450</v>
      </c>
      <c r="K38" s="2"/>
    </row>
    <row r="39" spans="1:14" x14ac:dyDescent="0.3">
      <c r="B39" s="6" t="s">
        <v>159</v>
      </c>
      <c r="C39" s="20">
        <v>46208</v>
      </c>
      <c r="D39" s="6" t="s">
        <v>160</v>
      </c>
      <c r="E39" s="6" t="s">
        <v>119</v>
      </c>
      <c r="F39" s="6" t="s">
        <v>161</v>
      </c>
      <c r="G39" s="6">
        <v>2</v>
      </c>
      <c r="H39" s="6">
        <v>190</v>
      </c>
      <c r="I39" s="6" t="s">
        <v>121</v>
      </c>
      <c r="J39" s="12">
        <f t="shared" si="0"/>
        <v>380</v>
      </c>
      <c r="K39" s="2"/>
    </row>
    <row r="41" spans="1:14" x14ac:dyDescent="0.3">
      <c r="A41" t="s">
        <v>163</v>
      </c>
    </row>
    <row r="42" spans="1:14" x14ac:dyDescent="0.3">
      <c r="A42" t="s">
        <v>164</v>
      </c>
    </row>
    <row r="43" spans="1:14" x14ac:dyDescent="0.3">
      <c r="A43" s="19" t="s">
        <v>165</v>
      </c>
    </row>
    <row r="44" spans="1:14" x14ac:dyDescent="0.3">
      <c r="A44" s="19" t="s">
        <v>166</v>
      </c>
    </row>
    <row r="46" spans="1:14" x14ac:dyDescent="0.3">
      <c r="A46" s="19"/>
      <c r="B46" s="15" t="s">
        <v>99</v>
      </c>
      <c r="C46" s="15" t="s">
        <v>100</v>
      </c>
      <c r="D46" s="15" t="s">
        <v>101</v>
      </c>
      <c r="E46" s="15" t="s">
        <v>102</v>
      </c>
      <c r="F46" s="15" t="s">
        <v>103</v>
      </c>
      <c r="G46" s="15" t="s">
        <v>104</v>
      </c>
      <c r="H46" s="15" t="s">
        <v>105</v>
      </c>
      <c r="I46" s="15" t="s">
        <v>106</v>
      </c>
      <c r="J46" s="15" t="s">
        <v>162</v>
      </c>
      <c r="K46" s="15" t="s">
        <v>168</v>
      </c>
      <c r="L46" s="39"/>
    </row>
    <row r="47" spans="1:14" x14ac:dyDescent="0.3">
      <c r="A47" s="13"/>
      <c r="B47" s="6" t="s">
        <v>107</v>
      </c>
      <c r="C47" s="20">
        <v>46204</v>
      </c>
      <c r="D47" s="6" t="s">
        <v>108</v>
      </c>
      <c r="E47" s="6" t="s">
        <v>109</v>
      </c>
      <c r="F47" s="6" t="s">
        <v>110</v>
      </c>
      <c r="G47" s="6">
        <v>2</v>
      </c>
      <c r="H47" s="6">
        <v>299</v>
      </c>
      <c r="I47" s="6" t="s">
        <v>111</v>
      </c>
      <c r="J47" s="12">
        <v>598</v>
      </c>
      <c r="K47" s="12">
        <f>J47*$N$48</f>
        <v>59.800000000000004</v>
      </c>
      <c r="L47" s="40"/>
    </row>
    <row r="48" spans="1:14" x14ac:dyDescent="0.3">
      <c r="B48" s="6" t="s">
        <v>112</v>
      </c>
      <c r="C48" s="20">
        <v>46204</v>
      </c>
      <c r="D48" s="6" t="s">
        <v>113</v>
      </c>
      <c r="E48" s="6" t="s">
        <v>114</v>
      </c>
      <c r="F48" s="6" t="s">
        <v>115</v>
      </c>
      <c r="G48" s="6">
        <v>3</v>
      </c>
      <c r="H48" s="6">
        <v>149</v>
      </c>
      <c r="I48" s="6" t="s">
        <v>116</v>
      </c>
      <c r="J48" s="12">
        <v>447</v>
      </c>
      <c r="K48" s="12">
        <f t="shared" ref="K48:K61" si="1">J48*$N$48</f>
        <v>44.7</v>
      </c>
      <c r="L48" s="40"/>
      <c r="M48" s="14" t="s">
        <v>167</v>
      </c>
      <c r="N48" s="21">
        <v>0.1</v>
      </c>
    </row>
    <row r="49" spans="1:12" x14ac:dyDescent="0.3">
      <c r="B49" s="6" t="s">
        <v>117</v>
      </c>
      <c r="C49" s="20">
        <v>46204</v>
      </c>
      <c r="D49" s="6" t="s">
        <v>118</v>
      </c>
      <c r="E49" s="6" t="s">
        <v>119</v>
      </c>
      <c r="F49" s="6" t="s">
        <v>120</v>
      </c>
      <c r="G49" s="6">
        <v>2</v>
      </c>
      <c r="H49" s="6">
        <v>180</v>
      </c>
      <c r="I49" s="6" t="s">
        <v>121</v>
      </c>
      <c r="J49" s="12">
        <v>360</v>
      </c>
      <c r="K49" s="12">
        <f t="shared" si="1"/>
        <v>36</v>
      </c>
      <c r="L49" s="40"/>
    </row>
    <row r="50" spans="1:12" x14ac:dyDescent="0.3">
      <c r="B50" s="6" t="s">
        <v>122</v>
      </c>
      <c r="C50" s="20">
        <v>46205</v>
      </c>
      <c r="D50" s="6" t="s">
        <v>123</v>
      </c>
      <c r="E50" s="6" t="s">
        <v>124</v>
      </c>
      <c r="F50" s="6" t="s">
        <v>125</v>
      </c>
      <c r="G50" s="6">
        <v>4</v>
      </c>
      <c r="H50" s="6">
        <v>120</v>
      </c>
      <c r="I50" s="6" t="s">
        <v>111</v>
      </c>
      <c r="J50" s="12">
        <v>480</v>
      </c>
      <c r="K50" s="12">
        <f t="shared" si="1"/>
        <v>48</v>
      </c>
      <c r="L50" s="40"/>
    </row>
    <row r="51" spans="1:12" x14ac:dyDescent="0.3">
      <c r="B51" s="6" t="s">
        <v>126</v>
      </c>
      <c r="C51" s="20">
        <v>46205</v>
      </c>
      <c r="D51" s="6" t="s">
        <v>127</v>
      </c>
      <c r="E51" s="6" t="s">
        <v>109</v>
      </c>
      <c r="F51" s="6" t="s">
        <v>128</v>
      </c>
      <c r="G51" s="6">
        <v>1</v>
      </c>
      <c r="H51" s="6">
        <v>399</v>
      </c>
      <c r="I51" s="6" t="s">
        <v>116</v>
      </c>
      <c r="J51" s="12">
        <v>399</v>
      </c>
      <c r="K51" s="12">
        <f t="shared" si="1"/>
        <v>39.900000000000006</v>
      </c>
      <c r="L51" s="40"/>
    </row>
    <row r="52" spans="1:12" x14ac:dyDescent="0.3">
      <c r="B52" s="6" t="s">
        <v>129</v>
      </c>
      <c r="C52" s="20">
        <v>46205</v>
      </c>
      <c r="D52" s="6" t="s">
        <v>130</v>
      </c>
      <c r="E52" s="6" t="s">
        <v>114</v>
      </c>
      <c r="F52" s="6" t="s">
        <v>131</v>
      </c>
      <c r="G52" s="6">
        <v>2</v>
      </c>
      <c r="H52" s="6">
        <v>199</v>
      </c>
      <c r="I52" s="6" t="s">
        <v>121</v>
      </c>
      <c r="J52" s="12">
        <v>398</v>
      </c>
      <c r="K52" s="12">
        <f t="shared" si="1"/>
        <v>39.800000000000004</v>
      </c>
      <c r="L52" s="40"/>
    </row>
    <row r="53" spans="1:12" x14ac:dyDescent="0.3">
      <c r="B53" s="6" t="s">
        <v>132</v>
      </c>
      <c r="C53" s="20">
        <v>46206</v>
      </c>
      <c r="D53" s="6" t="s">
        <v>133</v>
      </c>
      <c r="E53" s="6" t="s">
        <v>119</v>
      </c>
      <c r="F53" s="6" t="s">
        <v>134</v>
      </c>
      <c r="G53" s="6">
        <v>3</v>
      </c>
      <c r="H53" s="6">
        <v>160</v>
      </c>
      <c r="I53" s="6" t="s">
        <v>111</v>
      </c>
      <c r="J53" s="12">
        <v>480</v>
      </c>
      <c r="K53" s="12">
        <f t="shared" si="1"/>
        <v>48</v>
      </c>
      <c r="L53" s="40"/>
    </row>
    <row r="54" spans="1:12" x14ac:dyDescent="0.3">
      <c r="B54" s="6" t="s">
        <v>135</v>
      </c>
      <c r="C54" s="20">
        <v>46206</v>
      </c>
      <c r="D54" s="6" t="s">
        <v>136</v>
      </c>
      <c r="E54" s="6" t="s">
        <v>109</v>
      </c>
      <c r="F54" s="6" t="s">
        <v>137</v>
      </c>
      <c r="G54" s="6">
        <v>2</v>
      </c>
      <c r="H54" s="6">
        <v>499</v>
      </c>
      <c r="I54" s="6" t="s">
        <v>116</v>
      </c>
      <c r="J54" s="12">
        <v>998</v>
      </c>
      <c r="K54" s="12">
        <f t="shared" si="1"/>
        <v>99.800000000000011</v>
      </c>
      <c r="L54" s="40"/>
    </row>
    <row r="55" spans="1:12" x14ac:dyDescent="0.3">
      <c r="B55" s="6" t="s">
        <v>138</v>
      </c>
      <c r="C55" s="20">
        <v>46206</v>
      </c>
      <c r="D55" s="6" t="s">
        <v>139</v>
      </c>
      <c r="E55" s="6" t="s">
        <v>140</v>
      </c>
      <c r="F55" s="6" t="s">
        <v>141</v>
      </c>
      <c r="G55" s="6">
        <v>2</v>
      </c>
      <c r="H55" s="6">
        <v>220</v>
      </c>
      <c r="I55" s="6" t="s">
        <v>121</v>
      </c>
      <c r="J55" s="12">
        <v>440</v>
      </c>
      <c r="K55" s="12">
        <f t="shared" si="1"/>
        <v>44</v>
      </c>
      <c r="L55" s="40"/>
    </row>
    <row r="56" spans="1:12" x14ac:dyDescent="0.3">
      <c r="B56" s="6" t="s">
        <v>142</v>
      </c>
      <c r="C56" s="20">
        <v>46207</v>
      </c>
      <c r="D56" s="6" t="s">
        <v>143</v>
      </c>
      <c r="E56" s="6" t="s">
        <v>144</v>
      </c>
      <c r="F56" s="6" t="s">
        <v>145</v>
      </c>
      <c r="G56" s="6">
        <v>1</v>
      </c>
      <c r="H56" s="6">
        <v>299</v>
      </c>
      <c r="I56" s="6" t="s">
        <v>111</v>
      </c>
      <c r="J56" s="12">
        <v>299</v>
      </c>
      <c r="K56" s="12">
        <f t="shared" si="1"/>
        <v>29.900000000000002</v>
      </c>
      <c r="L56" s="40"/>
    </row>
    <row r="57" spans="1:12" x14ac:dyDescent="0.3">
      <c r="B57" s="6" t="s">
        <v>146</v>
      </c>
      <c r="C57" s="20">
        <v>46207</v>
      </c>
      <c r="D57" s="6" t="s">
        <v>147</v>
      </c>
      <c r="E57" s="6" t="s">
        <v>114</v>
      </c>
      <c r="F57" s="6" t="s">
        <v>148</v>
      </c>
      <c r="G57" s="6">
        <v>2</v>
      </c>
      <c r="H57" s="6">
        <v>249</v>
      </c>
      <c r="I57" s="6" t="s">
        <v>116</v>
      </c>
      <c r="J57" s="12">
        <v>498</v>
      </c>
      <c r="K57" s="12">
        <f t="shared" si="1"/>
        <v>49.800000000000004</v>
      </c>
      <c r="L57" s="40"/>
    </row>
    <row r="58" spans="1:12" x14ac:dyDescent="0.3">
      <c r="B58" s="6" t="s">
        <v>149</v>
      </c>
      <c r="C58" s="20">
        <v>46207</v>
      </c>
      <c r="D58" s="6" t="s">
        <v>150</v>
      </c>
      <c r="E58" s="6" t="s">
        <v>151</v>
      </c>
      <c r="F58" s="6" t="s">
        <v>152</v>
      </c>
      <c r="G58" s="6">
        <v>4</v>
      </c>
      <c r="H58" s="6">
        <v>80</v>
      </c>
      <c r="I58" s="6" t="s">
        <v>121</v>
      </c>
      <c r="J58" s="12">
        <v>320</v>
      </c>
      <c r="K58" s="12">
        <f t="shared" si="1"/>
        <v>32</v>
      </c>
      <c r="L58" s="40"/>
    </row>
    <row r="59" spans="1:12" x14ac:dyDescent="0.3">
      <c r="B59" s="6" t="s">
        <v>153</v>
      </c>
      <c r="C59" s="20">
        <v>46208</v>
      </c>
      <c r="D59" s="6" t="s">
        <v>154</v>
      </c>
      <c r="E59" s="6" t="s">
        <v>109</v>
      </c>
      <c r="F59" s="6" t="s">
        <v>155</v>
      </c>
      <c r="G59" s="6">
        <v>1</v>
      </c>
      <c r="H59" s="6">
        <v>449</v>
      </c>
      <c r="I59" s="6" t="s">
        <v>111</v>
      </c>
      <c r="J59" s="12">
        <v>449</v>
      </c>
      <c r="K59" s="12">
        <f t="shared" si="1"/>
        <v>44.900000000000006</v>
      </c>
      <c r="L59" s="40"/>
    </row>
    <row r="60" spans="1:12" x14ac:dyDescent="0.3">
      <c r="B60" s="6" t="s">
        <v>156</v>
      </c>
      <c r="C60" s="20">
        <v>46208</v>
      </c>
      <c r="D60" s="6" t="s">
        <v>157</v>
      </c>
      <c r="E60" s="6" t="s">
        <v>124</v>
      </c>
      <c r="F60" s="6" t="s">
        <v>158</v>
      </c>
      <c r="G60" s="6">
        <v>3</v>
      </c>
      <c r="H60" s="6">
        <v>150</v>
      </c>
      <c r="I60" s="6" t="s">
        <v>116</v>
      </c>
      <c r="J60" s="12">
        <v>450</v>
      </c>
      <c r="K60" s="12">
        <f t="shared" si="1"/>
        <v>45</v>
      </c>
      <c r="L60" s="40"/>
    </row>
    <row r="61" spans="1:12" x14ac:dyDescent="0.3">
      <c r="B61" s="6" t="s">
        <v>159</v>
      </c>
      <c r="C61" s="20">
        <v>46208</v>
      </c>
      <c r="D61" s="6" t="s">
        <v>160</v>
      </c>
      <c r="E61" s="6" t="s">
        <v>119</v>
      </c>
      <c r="F61" s="6" t="s">
        <v>161</v>
      </c>
      <c r="G61" s="6">
        <v>2</v>
      </c>
      <c r="H61" s="6">
        <v>190</v>
      </c>
      <c r="I61" s="6" t="s">
        <v>121</v>
      </c>
      <c r="J61" s="12">
        <v>380</v>
      </c>
      <c r="K61" s="12">
        <f t="shared" si="1"/>
        <v>38</v>
      </c>
      <c r="L61" s="40"/>
    </row>
    <row r="63" spans="1:12" ht="23.4" x14ac:dyDescent="0.3">
      <c r="A63" s="25" t="s">
        <v>169</v>
      </c>
    </row>
    <row r="65" spans="1:5" x14ac:dyDescent="0.3">
      <c r="A65" t="s">
        <v>171</v>
      </c>
    </row>
    <row r="66" spans="1:5" x14ac:dyDescent="0.3">
      <c r="A66" t="s">
        <v>181</v>
      </c>
    </row>
    <row r="68" spans="1:5" ht="18" x14ac:dyDescent="0.3">
      <c r="A68" s="24" t="s">
        <v>170</v>
      </c>
      <c r="B68" s="15" t="s">
        <v>103</v>
      </c>
      <c r="C68" s="23" t="s">
        <v>170</v>
      </c>
    </row>
    <row r="69" spans="1:5" x14ac:dyDescent="0.3">
      <c r="A69" s="22"/>
      <c r="B69" s="17" t="s">
        <v>110</v>
      </c>
      <c r="C69" s="26">
        <v>299</v>
      </c>
    </row>
    <row r="70" spans="1:5" x14ac:dyDescent="0.3">
      <c r="A70" s="22"/>
      <c r="B70" s="17" t="s">
        <v>115</v>
      </c>
      <c r="C70" s="26">
        <v>149</v>
      </c>
    </row>
    <row r="71" spans="1:5" x14ac:dyDescent="0.3">
      <c r="A71" s="22"/>
      <c r="B71" s="17" t="s">
        <v>120</v>
      </c>
      <c r="C71" s="26">
        <v>180</v>
      </c>
    </row>
    <row r="72" spans="1:5" x14ac:dyDescent="0.3">
      <c r="A72" s="22"/>
      <c r="B72" s="17" t="s">
        <v>125</v>
      </c>
      <c r="C72" s="26">
        <v>120</v>
      </c>
    </row>
    <row r="73" spans="1:5" x14ac:dyDescent="0.3">
      <c r="A73" s="22"/>
      <c r="B73" s="17" t="s">
        <v>128</v>
      </c>
      <c r="C73" s="26">
        <v>399</v>
      </c>
    </row>
    <row r="75" spans="1:5" ht="18" x14ac:dyDescent="0.3">
      <c r="A75" s="24" t="s">
        <v>172</v>
      </c>
      <c r="B75" s="15"/>
      <c r="C75" s="23" t="s">
        <v>173</v>
      </c>
      <c r="D75" s="23" t="s">
        <v>174</v>
      </c>
      <c r="E75" s="23" t="s">
        <v>175</v>
      </c>
    </row>
    <row r="76" spans="1:5" x14ac:dyDescent="0.3">
      <c r="B76" s="17" t="s">
        <v>176</v>
      </c>
      <c r="C76" s="26">
        <v>1</v>
      </c>
      <c r="D76" s="26">
        <v>1.05</v>
      </c>
      <c r="E76" s="26">
        <v>1.1000000000000001</v>
      </c>
    </row>
    <row r="77" spans="1:5" x14ac:dyDescent="0.3">
      <c r="B77" s="22"/>
      <c r="C77" s="27"/>
      <c r="D77" s="27"/>
      <c r="E77" s="27"/>
    </row>
    <row r="78" spans="1:5" x14ac:dyDescent="0.3">
      <c r="A78" s="18" t="s">
        <v>183</v>
      </c>
      <c r="B78" s="22"/>
      <c r="C78" s="27"/>
      <c r="D78" s="27"/>
      <c r="E78" s="27"/>
    </row>
    <row r="79" spans="1:5" x14ac:dyDescent="0.3">
      <c r="A79" t="s">
        <v>182</v>
      </c>
    </row>
    <row r="80" spans="1:5" x14ac:dyDescent="0.3">
      <c r="A80" t="s">
        <v>178</v>
      </c>
    </row>
    <row r="82" spans="1:11" ht="18" x14ac:dyDescent="0.3">
      <c r="A82" s="24" t="s">
        <v>177</v>
      </c>
      <c r="B82" s="15" t="s">
        <v>103</v>
      </c>
      <c r="C82" s="23" t="s">
        <v>173</v>
      </c>
      <c r="D82" s="23" t="s">
        <v>174</v>
      </c>
      <c r="E82" s="23" t="s">
        <v>175</v>
      </c>
    </row>
    <row r="83" spans="1:11" x14ac:dyDescent="0.3">
      <c r="B83" s="17" t="s">
        <v>110</v>
      </c>
      <c r="C83" s="26">
        <f>$C69*C$76</f>
        <v>299</v>
      </c>
      <c r="D83" s="26">
        <f t="shared" ref="D83:E83" si="2">$C69*D$76</f>
        <v>313.95</v>
      </c>
      <c r="E83" s="26">
        <f t="shared" si="2"/>
        <v>328.90000000000003</v>
      </c>
    </row>
    <row r="84" spans="1:11" x14ac:dyDescent="0.3">
      <c r="B84" s="17" t="s">
        <v>115</v>
      </c>
      <c r="C84" s="26">
        <f t="shared" ref="C84:C87" si="3">C70*C$76</f>
        <v>149</v>
      </c>
      <c r="D84" s="26">
        <f t="shared" ref="D84:E84" si="4">$C70*D$76</f>
        <v>156.45000000000002</v>
      </c>
      <c r="E84" s="26">
        <f t="shared" si="4"/>
        <v>163.9</v>
      </c>
    </row>
    <row r="85" spans="1:11" x14ac:dyDescent="0.3">
      <c r="B85" s="17" t="s">
        <v>120</v>
      </c>
      <c r="C85" s="26">
        <f t="shared" si="3"/>
        <v>180</v>
      </c>
      <c r="D85" s="26">
        <f t="shared" ref="D85:E85" si="5">$C71*D$76</f>
        <v>189</v>
      </c>
      <c r="E85" s="26">
        <f t="shared" si="5"/>
        <v>198.00000000000003</v>
      </c>
    </row>
    <row r="86" spans="1:11" x14ac:dyDescent="0.3">
      <c r="B86" s="17" t="s">
        <v>125</v>
      </c>
      <c r="C86" s="26">
        <f t="shared" si="3"/>
        <v>120</v>
      </c>
      <c r="D86" s="26">
        <f t="shared" ref="D86:E86" si="6">$C72*D$76</f>
        <v>126</v>
      </c>
      <c r="E86" s="26">
        <f t="shared" si="6"/>
        <v>132</v>
      </c>
    </row>
    <row r="87" spans="1:11" x14ac:dyDescent="0.3">
      <c r="B87" s="17" t="s">
        <v>128</v>
      </c>
      <c r="C87" s="26">
        <f t="shared" si="3"/>
        <v>399</v>
      </c>
      <c r="D87" s="26">
        <f>$C73*D$76</f>
        <v>418.95000000000005</v>
      </c>
      <c r="E87" s="26">
        <f>$C73*E$76</f>
        <v>438.90000000000003</v>
      </c>
      <c r="I87" s="7"/>
      <c r="J87" s="2"/>
      <c r="K87" s="2"/>
    </row>
  </sheetData>
  <mergeCells count="1">
    <mergeCell ref="A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Question1</vt:lpstr>
      <vt:lpstr>Question2</vt:lpstr>
      <vt:lpstr>Late</vt:lpstr>
      <vt:lpstr>Present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Manthan Nisar</cp:lastModifiedBy>
  <dcterms:created xsi:type="dcterms:W3CDTF">2026-07-17T08:21:08Z</dcterms:created>
  <dcterms:modified xsi:type="dcterms:W3CDTF">2026-07-20T13:44:36Z</dcterms:modified>
</cp:coreProperties>
</file>